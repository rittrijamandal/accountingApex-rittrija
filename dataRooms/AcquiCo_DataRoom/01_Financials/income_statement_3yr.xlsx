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&quot;-&quot;"/>
    <numFmt numFmtId="165" formatCode="0.0%;-0.0%;&quot;-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000000"/>
    </font>
    <font>
      <name val="Arial"/>
      <color rgb="00000000"/>
    </font>
    <font>
      <name val="Arial"/>
      <color rgb="000000FF"/>
    </font>
    <font>
      <name val="Arial"/>
      <color rgb="0000800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165" fontId="5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AcquiCo Inc. — Income Statement ($000s)</t>
        </is>
      </c>
    </row>
    <row r="2">
      <c r="A2" s="2" t="inlineStr">
        <is>
          <t>Revenue</t>
        </is>
      </c>
    </row>
    <row r="3">
      <c r="A3" s="3" t="inlineStr">
        <is>
          <t xml:space="preserve">  Product Revenue</t>
        </is>
      </c>
      <c r="B3" s="4" t="n">
        <v>22900</v>
      </c>
      <c r="C3" s="4" t="n">
        <v>23800</v>
      </c>
      <c r="D3" s="4" t="n">
        <v>24700</v>
      </c>
      <c r="E3" s="5">
        <f>(D3-C3)/C3</f>
        <v/>
      </c>
    </row>
    <row r="4">
      <c r="A4" s="3" t="inlineStr">
        <is>
          <t xml:space="preserve">  Service Revenue</t>
        </is>
      </c>
      <c r="B4" s="4" t="n">
        <v>8800</v>
      </c>
      <c r="C4" s="4" t="n">
        <v>9100</v>
      </c>
      <c r="D4" s="4" t="n">
        <v>9400</v>
      </c>
      <c r="E4" s="5">
        <f>(D4-C4)/C4</f>
        <v/>
      </c>
    </row>
    <row r="5">
      <c r="A5" s="3" t="inlineStr">
        <is>
          <t xml:space="preserve">  ONE-TIME: Real Estate Sale</t>
        </is>
      </c>
      <c r="B5" s="4" t="n">
        <v>0</v>
      </c>
      <c r="C5" s="4" t="n">
        <v>10000</v>
      </c>
      <c r="D5" s="4" t="n">
        <v>0</v>
      </c>
      <c r="E5" s="5">
        <f>(D5-C5)/C5</f>
        <v/>
      </c>
    </row>
    <row r="6">
      <c r="A6" s="3" t="inlineStr">
        <is>
          <t xml:space="preserve">  Total Revenue</t>
        </is>
      </c>
      <c r="B6" s="6">
        <f>SUM(B3:B5)</f>
        <v/>
      </c>
      <c r="C6" s="6">
        <f>SUM(C3:C5)</f>
        <v/>
      </c>
      <c r="D6" s="6">
        <f>SUM(D3:D5)</f>
        <v/>
      </c>
      <c r="E6" s="5">
        <f>(D6-C6)/C6</f>
        <v/>
      </c>
    </row>
    <row r="7">
      <c r="A7" s="3" t="inlineStr"/>
    </row>
    <row r="8">
      <c r="A8" s="2" t="inlineStr">
        <is>
          <t>Cost of Revenue</t>
        </is>
      </c>
    </row>
    <row r="9">
      <c r="A9" s="3" t="inlineStr">
        <is>
          <t xml:space="preserve">  COGS</t>
        </is>
      </c>
      <c r="B9" s="4" t="n">
        <v>14400</v>
      </c>
      <c r="C9" s="4" t="n">
        <v>14800</v>
      </c>
      <c r="D9" s="4" t="n">
        <v>15200</v>
      </c>
      <c r="E9" s="5">
        <f>(D9-C9)/C9</f>
        <v/>
      </c>
    </row>
    <row r="10">
      <c r="A10" s="3" t="inlineStr">
        <is>
          <t xml:space="preserve">  Gross Profit</t>
        </is>
      </c>
    </row>
    <row r="11">
      <c r="A11" s="3" t="inlineStr">
        <is>
          <t xml:space="preserve">  Gross Margin %</t>
        </is>
      </c>
    </row>
    <row r="12">
      <c r="A12" s="3" t="inlineStr"/>
    </row>
    <row r="13">
      <c r="A13" s="2" t="inlineStr">
        <is>
          <t>Operating Expenses</t>
        </is>
      </c>
    </row>
    <row r="14">
      <c r="A14" s="3" t="inlineStr">
        <is>
          <t xml:space="preserve">  Salaries &amp; Wages</t>
        </is>
      </c>
      <c r="B14" s="4" t="n">
        <v>10000</v>
      </c>
      <c r="C14" s="4" t="n">
        <v>10200</v>
      </c>
      <c r="D14" s="4" t="n">
        <v>10400</v>
      </c>
      <c r="E14" s="5">
        <f>(D14-C14)/C14</f>
        <v/>
      </c>
    </row>
    <row r="15">
      <c r="A15" s="3" t="inlineStr">
        <is>
          <t xml:space="preserve">  Rent &amp; Occupancy</t>
        </is>
      </c>
      <c r="B15" s="4" t="n">
        <v>1800</v>
      </c>
      <c r="C15" s="4" t="n">
        <v>1800</v>
      </c>
      <c r="D15" s="4" t="n">
        <v>1800</v>
      </c>
      <c r="E15" s="5">
        <f>(D15-C15)/C15</f>
        <v/>
      </c>
    </row>
    <row r="16">
      <c r="A16" s="3" t="inlineStr">
        <is>
          <t xml:space="preserve">  D&amp;A</t>
        </is>
      </c>
      <c r="B16" s="4" t="n">
        <v>2250</v>
      </c>
      <c r="C16" s="4" t="n">
        <v>2300</v>
      </c>
      <c r="D16" s="4" t="n">
        <v>2350</v>
      </c>
      <c r="E16" s="5">
        <f>(D16-C16)/C16</f>
        <v/>
      </c>
    </row>
    <row r="17">
      <c r="A17" s="3" t="inlineStr">
        <is>
          <t xml:space="preserve">  Marketing</t>
        </is>
      </c>
      <c r="B17" s="4" t="n">
        <v>1230</v>
      </c>
      <c r="C17" s="4" t="n">
        <v>1260</v>
      </c>
      <c r="D17" s="4" t="n">
        <v>1290</v>
      </c>
      <c r="E17" s="5">
        <f>(D17-C17)/C17</f>
        <v/>
      </c>
    </row>
    <row r="18">
      <c r="A18" s="3" t="inlineStr">
        <is>
          <t xml:space="preserve">  G&amp;A</t>
        </is>
      </c>
      <c r="B18" s="4" t="n">
        <v>2420</v>
      </c>
      <c r="C18" s="4" t="n">
        <v>2440</v>
      </c>
      <c r="D18" s="4" t="n">
        <v>2460</v>
      </c>
      <c r="E18" s="5">
        <f>(D18-C18)/C18</f>
        <v/>
      </c>
    </row>
    <row r="19">
      <c r="A19" s="3" t="inlineStr">
        <is>
          <t xml:space="preserve">  ONE-TIME: Restructuring Charge</t>
        </is>
      </c>
      <c r="B19" s="4" t="n">
        <v>0</v>
      </c>
      <c r="C19" s="4" t="n">
        <v>3500</v>
      </c>
      <c r="D19" s="4" t="n">
        <v>0</v>
      </c>
      <c r="E19" s="5">
        <f>(D19-C19)/C19</f>
        <v/>
      </c>
    </row>
    <row r="20">
      <c r="A20" s="3" t="inlineStr">
        <is>
          <t xml:space="preserve">  ONE-TIME: Litigation Settlement</t>
        </is>
      </c>
      <c r="B20" s="4" t="n">
        <v>2000</v>
      </c>
      <c r="C20" s="4" t="n">
        <v>0</v>
      </c>
      <c r="D20" s="4" t="n">
        <v>0</v>
      </c>
      <c r="E20" s="5">
        <f>(D20-C20)/C20</f>
        <v/>
      </c>
    </row>
    <row r="21">
      <c r="A21" s="3" t="inlineStr">
        <is>
          <t xml:space="preserve">  Total OpEx</t>
        </is>
      </c>
    </row>
    <row r="22">
      <c r="A22" s="3" t="inlineStr"/>
    </row>
    <row r="23">
      <c r="A23" s="2" t="inlineStr">
        <is>
          <t>EBITDA (Reported)</t>
        </is>
      </c>
    </row>
    <row r="24">
      <c r="A24" s="3" t="inlineStr">
        <is>
          <t xml:space="preserve">  (+) ONE-TIME Items</t>
        </is>
      </c>
    </row>
    <row r="25">
      <c r="A25" s="3" t="inlineStr">
        <is>
          <t xml:space="preserve">  Adjusted EBITDA</t>
        </is>
      </c>
    </row>
    <row r="26">
      <c r="A26" s="3" t="inlineStr">
        <is>
          <t xml:space="preserve">  Adj. EBITDA Margin %</t>
        </is>
      </c>
    </row>
    <row r="27">
      <c r="A27" s="3" t="inlineStr"/>
    </row>
    <row r="28">
      <c r="A28" s="2" t="inlineStr">
        <is>
          <t>EBIT</t>
        </is>
      </c>
    </row>
    <row r="29">
      <c r="A29" s="3" t="inlineStr">
        <is>
          <t xml:space="preserve">  Interest Expense</t>
        </is>
      </c>
      <c r="B29" s="4" t="n">
        <v>900</v>
      </c>
      <c r="C29" s="4" t="n">
        <v>900</v>
      </c>
      <c r="D29" s="4" t="n">
        <v>900</v>
      </c>
      <c r="E29" s="5">
        <f>(D29-C29)/C29</f>
        <v/>
      </c>
    </row>
    <row r="30">
      <c r="A30" s="3" t="inlineStr">
        <is>
          <t xml:space="preserve">  Pre-Tax Income</t>
        </is>
      </c>
    </row>
    <row r="31">
      <c r="A31" s="3" t="inlineStr">
        <is>
          <t xml:space="preserve">  Income Tax</t>
        </is>
      </c>
      <c r="B31" s="4" t="n">
        <v>850</v>
      </c>
      <c r="C31" s="4" t="n">
        <v>900</v>
      </c>
      <c r="D31" s="4" t="n">
        <v>950</v>
      </c>
      <c r="E31" s="5">
        <f>(D31-C31)/C31</f>
        <v/>
      </c>
    </row>
    <row r="32">
      <c r="A32" s="3" t="inlineStr">
        <is>
          <t xml:space="preserve">  Net Income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2026-04-29T16:49:12Z</dcterms:created>
  <dcterms:modified xmlns:dcterms="http://purl.org/dc/terms/" xmlns:xsi="http://www.w3.org/2001/XMLSchema-instance" xsi:type="dcterms:W3CDTF">2026-04-29T16:49:12Z</dcterms:modified>
</cp:coreProperties>
</file>